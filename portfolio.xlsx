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ртфель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<sst xmlns="http://schemas.openxmlformats.org/spreadsheetml/2006/main" count="68" uniqueCount="55">
  <si>
    <t xml:space="preserve">Курс $/₪ (1$=Х₪):</t>
  </si>
  <si>
    <t xml:space="preserve">Синие ячейки = вписывать вручную. Чёрные = считаются формулой. Курс $/₪ и Начальная сумма — единственные настройки вверху.</t>
  </si>
  <si>
    <t xml:space="preserve">Начальная стоимость портфеля ($):</t>
  </si>
  <si>
    <t xml:space="preserve">Название акции</t>
  </si>
  <si>
    <t xml:space="preserve">Символ</t>
  </si>
  <si>
    <t xml:space="preserve">Валюта</t>
  </si>
  <si>
    <t xml:space="preserve">Курс перед покупкой</t>
  </si>
  <si>
    <t xml:space="preserve">Рекомендуемый курс покупки</t>
  </si>
  <si>
    <t xml:space="preserve">Покупка по точке входа</t>
  </si>
  <si>
    <t xml:space="preserve">STOP LOSS</t>
  </si>
  <si>
    <t xml:space="preserve">Количество акций</t>
  </si>
  <si>
    <t xml:space="preserve">Кол-во на момент закрытия</t>
  </si>
  <si>
    <t xml:space="preserve">Курс тек./выхода (15.07.26)</t>
  </si>
  <si>
    <t xml:space="preserve">Курс входа, $</t>
  </si>
  <si>
    <t xml:space="preserve">Курс тек., $</t>
  </si>
  <si>
    <t xml:space="preserve">Сумма, $</t>
  </si>
  <si>
    <t xml:space="preserve">Доход/убыток, %</t>
  </si>
  <si>
    <t xml:space="preserve">Доход/убыток, $</t>
  </si>
  <si>
    <t xml:space="preserve">Доля в портфеле</t>
  </si>
  <si>
    <t xml:space="preserve">Комментарии</t>
  </si>
  <si>
    <t xml:space="preserve">Robinhood</t>
  </si>
  <si>
    <t xml:space="preserve">HOOD</t>
  </si>
  <si>
    <t xml:space="preserve">USD</t>
  </si>
  <si>
    <t xml:space="preserve">06.07, 16:45</t>
  </si>
  <si>
    <t xml:space="preserve">APPLE</t>
  </si>
  <si>
    <t xml:space="preserve">AAPL</t>
  </si>
  <si>
    <t xml:space="preserve">Marathon Petroleum Corp</t>
  </si>
  <si>
    <t xml:space="preserve">MPC</t>
  </si>
  <si>
    <t xml:space="preserve">09.07, 16:38</t>
  </si>
  <si>
    <t xml:space="preserve">Valero Energy Corp</t>
  </si>
  <si>
    <t xml:space="preserve">VLO</t>
  </si>
  <si>
    <t xml:space="preserve">09.07, 16:35</t>
  </si>
  <si>
    <t xml:space="preserve">Arista Networks</t>
  </si>
  <si>
    <t xml:space="preserve">ANET</t>
  </si>
  <si>
    <t xml:space="preserve">09.07, 16:47</t>
  </si>
  <si>
    <t xml:space="preserve">13.07, 17:22</t>
  </si>
  <si>
    <t xml:space="preserve">Phillips 66</t>
  </si>
  <si>
    <t xml:space="preserve">PSX</t>
  </si>
  <si>
    <t xml:space="preserve">14.07, 19:15</t>
  </si>
  <si>
    <t xml:space="preserve">Oron Group</t>
  </si>
  <si>
    <t xml:space="preserve">ORON</t>
  </si>
  <si>
    <t xml:space="preserve">ILS</t>
  </si>
  <si>
    <t xml:space="preserve">15.07, 11:18</t>
  </si>
  <si>
    <t xml:space="preserve">IES</t>
  </si>
  <si>
    <t xml:space="preserve">15.07, 11:30</t>
  </si>
  <si>
    <t xml:space="preserve">Rimon Consulting</t>
  </si>
  <si>
    <t xml:space="preserve">RMON</t>
  </si>
  <si>
    <t xml:space="preserve">15.07, 11:40</t>
  </si>
  <si>
    <t xml:space="preserve">Afcon Holding</t>
  </si>
  <si>
    <t xml:space="preserve">AFHL</t>
  </si>
  <si>
    <t xml:space="preserve">15.07, 16:25</t>
  </si>
  <si>
    <t xml:space="preserve">Наличные</t>
  </si>
  <si>
    <t xml:space="preserve">В акциях</t>
  </si>
  <si>
    <t xml:space="preserve">Текущая стоимость портфеля</t>
  </si>
  <si>
    <t xml:space="preserve">Начальная стоимость портфеля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</si>
</sst>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8E8"/>
        <bgColor rgb="FFC9F7C9"/>
      </patternFill>
    </fill>
    <fill>
      <patternFill patternType="solid">
        <fgColor rgb="FF90EE90"/>
        <bgColor rgb="FFADD8E6"/>
      </patternFill>
    </fill>
    <fill>
      <patternFill patternType="solid">
        <fgColor rgb="FFADD8E6"/>
        <bgColor rgb="FFCCCCFF"/>
      </patternFill>
    </fill>
    <fill>
      <patternFill patternType="solid">
        <fgColor rgb="FFFF6666"/>
        <bgColor rgb="FFFF6600"/>
      </patternFill>
    </fill>
    <fill>
      <patternFill patternType="solid">
        <fgColor rgb="FFC9F7C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0EE90"/>
      <rgbColor rgb="FF808080"/>
      <rgbColor rgb="FF9999FF"/>
      <rgbColor rgb="FF993366"/>
      <rgbColor rgb="FFFFFFCC"/>
      <rgbColor rgb="FFCCFFFF"/>
      <rgbColor rgb="FF660066"/>
      <rgbColor rgb="FFFF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F7C9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6" min="14" style="0" width="11"/>
    <col collapsed="false" customWidth="true" hidden="false" outlineLevel="0" max="17" min="17" style="0" width="14"/>
  </cols>
  <sheetData>
    <row r="1" customFormat="false" ht="15" hidden="false" customHeight="true" outlineLevel="0" collapsed="false">
      <c r="A1" s="1" t="s">
        <v>0</v>
      </c>
      <c r="B1" s="2" t="n">
        <v>3</v>
      </c>
      <c r="D1" s="3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customFormat="false" ht="15" hidden="false" customHeight="false" outlineLevel="0" collapsed="false">
      <c r="A2" s="1" t="s">
        <v>2</v>
      </c>
      <c r="B2" s="2" t="n">
        <v>100000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31.5" hidden="false" customHeight="true" outlineLevel="0" collapsed="false">
      <c r="A4" s="4" t="s">
        <v>3</v>
      </c>
      <c r="B4" s="4" t="s">
        <v>4</v>
      </c>
      <c r="C4" s="5" t="s">
        <v>5</v>
      </c>
      <c r="D4" s="6" t="s">
        <v>6</v>
      </c>
      <c r="E4" s="6" t="s">
        <v>7</v>
      </c>
      <c r="F4" s="7" t="s">
        <v>8</v>
      </c>
      <c r="G4" s="8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9" t="s">
        <v>15</v>
      </c>
      <c r="N4" s="5" t="s">
        <v>16</v>
      </c>
      <c r="O4" s="5" t="s">
        <v>17</v>
      </c>
      <c r="P4" s="5" t="s">
        <v>18</v>
      </c>
      <c r="Q4" s="4" t="s">
        <v>19</v>
      </c>
    </row>
    <row r="5" customFormat="false" ht="15" hidden="false" customHeight="false" outlineLevel="0" collapsed="false">
      <c r="A5" s="10" t="s">
        <v>20</v>
      </c>
      <c r="B5" s="10" t="s">
        <v>21</v>
      </c>
      <c r="C5" s="10" t="s">
        <v>22</v>
      </c>
      <c r="D5" s="11" t="n">
        <v>114.9</v>
      </c>
      <c r="E5" s="11" t="n">
        <v>114.9</v>
      </c>
      <c r="F5" s="11" t="n">
        <v>114.3</v>
      </c>
      <c r="G5" s="11" t="n">
        <v>109.7</v>
      </c>
      <c r="H5" s="10" t="n">
        <v>0</v>
      </c>
      <c r="I5" s="10" t="n">
        <v>10</v>
      </c>
      <c r="J5" s="11" t="n">
        <v>110</v>
      </c>
      <c r="K5" s="12" t="n">
        <f aca="false">IF(C5="ILS",F5/100/$B$1,F5)</f>
        <v>114.3</v>
      </c>
      <c r="L5" s="12" t="n">
        <f aca="false">IF(C5="ILS",J5/100/$B$1,J5)</f>
        <v>110</v>
      </c>
      <c r="M5" s="12" t="n">
        <f aca="false">L5*H5</f>
        <v>0</v>
      </c>
      <c r="N5" s="13" t="n">
        <f aca="false">IF(F5=0,0,(J5-F5)/F5)</f>
        <v>-0.0376202974628171</v>
      </c>
      <c r="O5" s="12" t="n">
        <f aca="false">(L5-K5)*I5</f>
        <v>-43</v>
      </c>
      <c r="P5" s="13" t="n">
        <f aca="false">IFERROR(M5/$M$24,0)</f>
        <v>0</v>
      </c>
      <c r="Q5" s="10" t="s">
        <v>23</v>
      </c>
    </row>
    <row r="6" customFormat="false" ht="15" hidden="false" customHeight="false" outlineLevel="0" collapsed="false">
      <c r="A6" s="10" t="s">
        <v>24</v>
      </c>
      <c r="B6" s="10" t="s">
        <v>25</v>
      </c>
      <c r="C6" s="10" t="s">
        <v>22</v>
      </c>
      <c r="D6" s="11" t="n">
        <v>309.2</v>
      </c>
      <c r="E6" s="11" t="n">
        <v>309.2</v>
      </c>
      <c r="F6" s="11" t="n">
        <v>309.1</v>
      </c>
      <c r="G6" s="11" t="n">
        <v>296.7</v>
      </c>
      <c r="H6" s="10" t="n">
        <v>10</v>
      </c>
      <c r="I6" s="10" t="n">
        <v>10</v>
      </c>
      <c r="J6" s="11" t="n">
        <v>326.8</v>
      </c>
      <c r="K6" s="12" t="n">
        <f aca="false">IF(C6="ILS",F6/100/$B$1,F6)</f>
        <v>309.1</v>
      </c>
      <c r="L6" s="12" t="n">
        <f aca="false">IF(C6="ILS",J6/100/$B$1,J6)</f>
        <v>326.8</v>
      </c>
      <c r="M6" s="12" t="n">
        <f aca="false">L6*H6</f>
        <v>3268</v>
      </c>
      <c r="N6" s="13" t="n">
        <f aca="false">IF(F6=0,0,(J6-F6)/F6)</f>
        <v>0.057263021675833</v>
      </c>
      <c r="O6" s="12" t="n">
        <f aca="false">(L6-K6)*I6</f>
        <v>177</v>
      </c>
      <c r="P6" s="13" t="n">
        <f aca="false">IFERROR(M6/$M$24,0)</f>
        <v>0.0322365539636757</v>
      </c>
      <c r="Q6" s="10" t="s">
        <v>23</v>
      </c>
    </row>
    <row r="7" customFormat="false" ht="15" hidden="false" customHeight="false" outlineLevel="0" collapsed="false">
      <c r="A7" s="10" t="s">
        <v>26</v>
      </c>
      <c r="B7" s="10" t="s">
        <v>27</v>
      </c>
      <c r="C7" s="10" t="s">
        <v>22</v>
      </c>
      <c r="D7" s="11" t="n">
        <v>282</v>
      </c>
      <c r="E7" s="11" t="n">
        <v>281.8</v>
      </c>
      <c r="F7" s="11" t="n">
        <v>281.6</v>
      </c>
      <c r="G7" s="11" t="n">
        <v>270.3</v>
      </c>
      <c r="H7" s="10" t="n">
        <v>50</v>
      </c>
      <c r="I7" s="10" t="n">
        <v>50</v>
      </c>
      <c r="J7" s="11" t="n">
        <v>295.4</v>
      </c>
      <c r="K7" s="12" t="n">
        <f aca="false">IF(C7="ILS",F7/100/$B$1,F7)</f>
        <v>281.6</v>
      </c>
      <c r="L7" s="12" t="n">
        <f aca="false">IF(C7="ILS",J7/100/$B$1,J7)</f>
        <v>295.4</v>
      </c>
      <c r="M7" s="12" t="n">
        <f aca="false">L7*H7</f>
        <v>14770</v>
      </c>
      <c r="N7" s="13" t="n">
        <f aca="false">IF(F7=0,0,(J7-F7)/F7)</f>
        <v>0.0490056818181817</v>
      </c>
      <c r="O7" s="12" t="n">
        <f aca="false">(L7-K7)*I7</f>
        <v>689.999999999998</v>
      </c>
      <c r="P7" s="13" t="n">
        <f aca="false">IFERROR(M7/$M$24,0)</f>
        <v>0.14569580845884</v>
      </c>
      <c r="Q7" s="10" t="s">
        <v>28</v>
      </c>
    </row>
    <row r="8" customFormat="false" ht="15" hidden="false" customHeight="false" outlineLevel="0" collapsed="false">
      <c r="A8" s="10" t="s">
        <v>29</v>
      </c>
      <c r="B8" s="10" t="s">
        <v>30</v>
      </c>
      <c r="C8" s="10" t="s">
        <v>22</v>
      </c>
      <c r="D8" s="11" t="n">
        <v>281</v>
      </c>
      <c r="E8" s="11" t="n">
        <v>281</v>
      </c>
      <c r="F8" s="11" t="n">
        <v>281</v>
      </c>
      <c r="G8" s="11" t="n">
        <v>269.8</v>
      </c>
      <c r="H8" s="10" t="n">
        <v>50</v>
      </c>
      <c r="I8" s="10" t="n">
        <v>50</v>
      </c>
      <c r="J8" s="11" t="n">
        <v>288.3</v>
      </c>
      <c r="K8" s="12" t="n">
        <f aca="false">IF(C8="ILS",F8/100/$B$1,F8)</f>
        <v>281</v>
      </c>
      <c r="L8" s="12" t="n">
        <f aca="false">IF(C8="ILS",J8/100/$B$1,J8)</f>
        <v>288.3</v>
      </c>
      <c r="M8" s="12" t="n">
        <f aca="false">L8*H8</f>
        <v>14415</v>
      </c>
      <c r="N8" s="13" t="n">
        <f aca="false">IF(F8=0,0,(J8-F8)/F8)</f>
        <v>0.0259786476868328</v>
      </c>
      <c r="O8" s="12" t="n">
        <f aca="false">(L8-K8)*I8</f>
        <v>365.000000000001</v>
      </c>
      <c r="P8" s="13" t="n">
        <f aca="false">IFERROR(M8/$M$24,0)</f>
        <v>0.142193979616397</v>
      </c>
      <c r="Q8" s="10" t="s">
        <v>31</v>
      </c>
    </row>
    <row r="9" customFormat="false" ht="15" hidden="false" customHeight="false" outlineLevel="0" collapsed="false">
      <c r="A9" s="10" t="s">
        <v>32</v>
      </c>
      <c r="B9" s="10" t="s">
        <v>33</v>
      </c>
      <c r="C9" s="10" t="s">
        <v>22</v>
      </c>
      <c r="D9" s="11" t="n">
        <v>185</v>
      </c>
      <c r="E9" s="11" t="n">
        <v>185.2</v>
      </c>
      <c r="F9" s="11" t="n">
        <v>185.2</v>
      </c>
      <c r="G9" s="11" t="n">
        <v>177.8</v>
      </c>
      <c r="H9" s="10" t="n">
        <v>0</v>
      </c>
      <c r="I9" s="10" t="n">
        <v>0</v>
      </c>
      <c r="J9" s="11" t="n">
        <v>177.6</v>
      </c>
      <c r="K9" s="12" t="n">
        <f aca="false">IF(C9="ILS",F9/100/$B$1,F9)</f>
        <v>185.2</v>
      </c>
      <c r="L9" s="12" t="n">
        <f aca="false">IF(C9="ILS",J9/100/$B$1,J9)</f>
        <v>177.6</v>
      </c>
      <c r="M9" s="12" t="n">
        <f aca="false">L9*H9</f>
        <v>0</v>
      </c>
      <c r="N9" s="13" t="n">
        <f aca="false">IF(F9=0,0,(J9-F9)/F9)</f>
        <v>-0.041036717062635</v>
      </c>
      <c r="O9" s="12" t="n">
        <f aca="false">(L9-K9)*I9</f>
        <v>-0</v>
      </c>
      <c r="P9" s="13" t="n">
        <f aca="false">IFERROR(M9/$M$24,0)</f>
        <v>0</v>
      </c>
      <c r="Q9" s="10" t="s">
        <v>34</v>
      </c>
    </row>
    <row r="10" customFormat="false" ht="15" hidden="false" customHeight="false" outlineLevel="0" collapsed="false">
      <c r="A10" s="10" t="s">
        <v>24</v>
      </c>
      <c r="B10" s="10" t="s">
        <v>25</v>
      </c>
      <c r="C10" s="10" t="s">
        <v>22</v>
      </c>
      <c r="D10" s="11" t="n">
        <v>319.7</v>
      </c>
      <c r="E10" s="11" t="n">
        <v>319.7</v>
      </c>
      <c r="F10" s="11" t="n">
        <v>319.7</v>
      </c>
      <c r="G10" s="11" t="n">
        <v>306.9</v>
      </c>
      <c r="H10" s="10" t="n">
        <v>50</v>
      </c>
      <c r="I10" s="10" t="n">
        <v>50</v>
      </c>
      <c r="J10" s="11" t="n">
        <v>326.8</v>
      </c>
      <c r="K10" s="12" t="n">
        <f aca="false">IF(C10="ILS",F10/100/$B$1,F10)</f>
        <v>319.7</v>
      </c>
      <c r="L10" s="12" t="n">
        <f aca="false">IF(C10="ILS",J10/100/$B$1,J10)</f>
        <v>326.8</v>
      </c>
      <c r="M10" s="12" t="n">
        <f aca="false">L10*H10</f>
        <v>16340</v>
      </c>
      <c r="N10" s="13" t="n">
        <f aca="false">IF(F10=0,0,(J10-F10)/F10)</f>
        <v>0.0222083203002816</v>
      </c>
      <c r="O10" s="12" t="n">
        <f aca="false">(L10-K10)*I10</f>
        <v>355.000000000001</v>
      </c>
      <c r="P10" s="13" t="n">
        <f aca="false">IFERROR(M10/$M$24,0)</f>
        <v>0.161182769818378</v>
      </c>
      <c r="Q10" s="10" t="s">
        <v>35</v>
      </c>
    </row>
    <row r="11" customFormat="false" ht="15" hidden="false" customHeight="false" outlineLevel="0" collapsed="false">
      <c r="A11" s="10" t="s">
        <v>36</v>
      </c>
      <c r="B11" s="10" t="s">
        <v>37</v>
      </c>
      <c r="C11" s="10" t="s">
        <v>22</v>
      </c>
      <c r="D11" s="11" t="n">
        <v>199</v>
      </c>
      <c r="E11" s="11" t="n">
        <v>199</v>
      </c>
      <c r="F11" s="11" t="n">
        <v>200</v>
      </c>
      <c r="G11" s="11" t="n">
        <v>192</v>
      </c>
      <c r="H11" s="10" t="n">
        <v>50</v>
      </c>
      <c r="I11" s="10" t="n">
        <v>50</v>
      </c>
      <c r="J11" s="11" t="n">
        <v>196.1</v>
      </c>
      <c r="K11" s="12" t="n">
        <f aca="false">IF(C11="ILS",F11/100/$B$1,F11)</f>
        <v>200</v>
      </c>
      <c r="L11" s="12" t="n">
        <f aca="false">IF(C11="ILS",J11/100/$B$1,J11)</f>
        <v>196.1</v>
      </c>
      <c r="M11" s="12" t="n">
        <f aca="false">L11*H11</f>
        <v>9805</v>
      </c>
      <c r="N11" s="13" t="n">
        <f aca="false">IF(F11=0,0,(J11-F11)/F11)</f>
        <v>-0.0195</v>
      </c>
      <c r="O11" s="12" t="n">
        <f aca="false">(L11-K11)*I11</f>
        <v>-195</v>
      </c>
      <c r="P11" s="13" t="n">
        <f aca="false">IFERROR(M11/$M$24,0)</f>
        <v>0.0967195261976255</v>
      </c>
      <c r="Q11" s="10" t="s">
        <v>38</v>
      </c>
    </row>
    <row r="12" customFormat="false" ht="15" hidden="false" customHeight="false" outlineLevel="0" collapsed="false">
      <c r="A12" s="10" t="s">
        <v>39</v>
      </c>
      <c r="B12" s="10" t="s">
        <v>40</v>
      </c>
      <c r="C12" s="10" t="s">
        <v>41</v>
      </c>
      <c r="D12" s="11" t="n">
        <v>1230</v>
      </c>
      <c r="E12" s="11" t="n">
        <v>1230</v>
      </c>
      <c r="F12" s="11" t="n">
        <v>1230</v>
      </c>
      <c r="G12" s="11" t="n">
        <v>1180</v>
      </c>
      <c r="H12" s="10" t="n">
        <v>400</v>
      </c>
      <c r="I12" s="10" t="n">
        <v>400</v>
      </c>
      <c r="J12" s="11" t="n">
        <v>1260</v>
      </c>
      <c r="K12" s="12" t="n">
        <f aca="false">IF(C12="ILS",F12/100/$B$1,F12)</f>
        <v>4.1</v>
      </c>
      <c r="L12" s="12" t="n">
        <f aca="false">IF(C12="ILS",J12/100/$B$1,J12)</f>
        <v>4.2</v>
      </c>
      <c r="M12" s="12" t="n">
        <f aca="false">L12*H12</f>
        <v>1680</v>
      </c>
      <c r="N12" s="13" t="n">
        <f aca="false">IF(F12=0,0,(J12-F12)/F12)</f>
        <v>0.024390243902439</v>
      </c>
      <c r="O12" s="12" t="n">
        <f aca="false">(L12-K12)*I12</f>
        <v>39.9999999999999</v>
      </c>
      <c r="P12" s="13" t="n">
        <f aca="false">IFERROR(M12/$M$24,0)</f>
        <v>0.0165720350853657</v>
      </c>
      <c r="Q12" s="10" t="s">
        <v>42</v>
      </c>
    </row>
    <row r="13" customFormat="false" ht="15" hidden="false" customHeight="false" outlineLevel="0" collapsed="false">
      <c r="A13" s="10" t="s">
        <v>43</v>
      </c>
      <c r="B13" s="10" t="s">
        <v>43</v>
      </c>
      <c r="C13" s="10" t="s">
        <v>41</v>
      </c>
      <c r="D13" s="11" t="n">
        <v>27300</v>
      </c>
      <c r="E13" s="11" t="n">
        <v>27300</v>
      </c>
      <c r="F13" s="11" t="n">
        <v>27300</v>
      </c>
      <c r="G13" s="11" t="n">
        <v>26200</v>
      </c>
      <c r="H13" s="10" t="n">
        <v>18</v>
      </c>
      <c r="I13" s="10" t="n">
        <v>18</v>
      </c>
      <c r="J13" s="11" t="n">
        <v>27070</v>
      </c>
      <c r="K13" s="12" t="n">
        <f aca="false">IF(C13="ILS",F13/100/$B$1,F13)</f>
        <v>91</v>
      </c>
      <c r="L13" s="12" t="n">
        <f aca="false">IF(C13="ILS",J13/100/$B$1,J13)</f>
        <v>90.2333333333333</v>
      </c>
      <c r="M13" s="12" t="n">
        <f aca="false">L13*H13</f>
        <v>1624.2</v>
      </c>
      <c r="N13" s="13" t="n">
        <f aca="false">IF(F13=0,0,(J13-F13)/F13)</f>
        <v>-0.00842490842490842</v>
      </c>
      <c r="O13" s="12" t="n">
        <f aca="false">(L13-K13)*I13</f>
        <v>-13.8</v>
      </c>
      <c r="P13" s="13" t="n">
        <f aca="false">IFERROR(M13/$M$24,0)</f>
        <v>0.0160216067771732</v>
      </c>
      <c r="Q13" s="10" t="s">
        <v>44</v>
      </c>
    </row>
    <row r="14" customFormat="false" ht="15" hidden="false" customHeight="false" outlineLevel="0" collapsed="false">
      <c r="A14" s="10" t="s">
        <v>45</v>
      </c>
      <c r="B14" s="10" t="s">
        <v>46</v>
      </c>
      <c r="C14" s="10" t="s">
        <v>41</v>
      </c>
      <c r="D14" s="11" t="n">
        <v>5170</v>
      </c>
      <c r="E14" s="11" t="n">
        <v>5170</v>
      </c>
      <c r="F14" s="11" t="n">
        <v>5170</v>
      </c>
      <c r="G14" s="11" t="n">
        <v>4960</v>
      </c>
      <c r="H14" s="10" t="n">
        <v>150</v>
      </c>
      <c r="I14" s="10" t="n">
        <v>150</v>
      </c>
      <c r="J14" s="11" t="n">
        <v>5150</v>
      </c>
      <c r="K14" s="12" t="n">
        <f aca="false">IF(C14="ILS",F14/100/$B$1,F14)</f>
        <v>17.2333333333333</v>
      </c>
      <c r="L14" s="12" t="n">
        <f aca="false">IF(C14="ILS",J14/100/$B$1,J14)</f>
        <v>17.1666666666667</v>
      </c>
      <c r="M14" s="12" t="n">
        <f aca="false">L14*H14</f>
        <v>2575</v>
      </c>
      <c r="N14" s="13" t="n">
        <f aca="false">IF(F14=0,0,(J14-F14)/F14)</f>
        <v>-0.00386847195357834</v>
      </c>
      <c r="O14" s="12" t="n">
        <f aca="false">(L14-K14)*I14</f>
        <v>-9.99999999999996</v>
      </c>
      <c r="P14" s="13" t="n">
        <f aca="false">IFERROR(M14/$M$24,0)</f>
        <v>0.0254005894909623</v>
      </c>
      <c r="Q14" s="10" t="s">
        <v>47</v>
      </c>
    </row>
    <row r="15" customFormat="false" ht="15" hidden="false" customHeight="false" outlineLevel="0" collapsed="false">
      <c r="A15" s="10" t="s">
        <v>48</v>
      </c>
      <c r="B15" s="10" t="s">
        <v>49</v>
      </c>
      <c r="C15" s="10" t="s">
        <v>41</v>
      </c>
      <c r="D15" s="11" t="n">
        <v>19030</v>
      </c>
      <c r="E15" s="11" t="n">
        <v>19030</v>
      </c>
      <c r="F15" s="11" t="n">
        <v>19030</v>
      </c>
      <c r="G15" s="11" t="n">
        <v>18270</v>
      </c>
      <c r="H15" s="10" t="n">
        <v>26</v>
      </c>
      <c r="I15" s="10" t="n">
        <v>26</v>
      </c>
      <c r="J15" s="11" t="n">
        <v>19150</v>
      </c>
      <c r="K15" s="12" t="n">
        <f aca="false">IF(C15="ILS",F15/100/$B$1,F15)</f>
        <v>63.4333333333333</v>
      </c>
      <c r="L15" s="12" t="n">
        <f aca="false">IF(C15="ILS",J15/100/$B$1,J15)</f>
        <v>63.8333333333333</v>
      </c>
      <c r="M15" s="12" t="n">
        <f aca="false">L15*H15</f>
        <v>1659.66666666667</v>
      </c>
      <c r="N15" s="13" t="n">
        <f aca="false">IF(F15=0,0,(J15-F15)/F15)</f>
        <v>0.00630583289542827</v>
      </c>
      <c r="O15" s="12" t="n">
        <f aca="false">(L15-K15)*I15</f>
        <v>10.4</v>
      </c>
      <c r="P15" s="13" t="n">
        <f aca="false">IFERROR(M15/$M$24,0)</f>
        <v>0.0163714608511976</v>
      </c>
      <c r="Q15" s="10" t="s">
        <v>50</v>
      </c>
    </row>
    <row r="16" customFormat="false" ht="15" hidden="false" customHeight="false" outlineLevel="0" collapsed="false">
      <c r="D16" s="14"/>
      <c r="E16" s="14"/>
      <c r="F16" s="14"/>
      <c r="G16" s="14"/>
      <c r="J16" s="14"/>
      <c r="K16" s="12" t="n">
        <f aca="false">IF(C16="ILS",F16/100/$B$1,F16)</f>
        <v>0</v>
      </c>
      <c r="L16" s="12" t="n">
        <f aca="false">IF(C16="ILS",J16/100/$B$1,J16)</f>
        <v>0</v>
      </c>
      <c r="M16" s="12" t="n">
        <f aca="false">L16*H16</f>
        <v>0</v>
      </c>
      <c r="N16" s="13" t="n">
        <f aca="false">IF(F16=0,0,(J16-F16)/F16)</f>
        <v>0</v>
      </c>
      <c r="O16" s="12" t="n">
        <f aca="false">(L16-K16)*I16</f>
        <v>0</v>
      </c>
      <c r="P16" s="13" t="n">
        <f aca="false">IFERROR(M16/$M$24,0)</f>
        <v>0</v>
      </c>
    </row>
    <row r="17" customFormat="false" ht="15" hidden="false" customHeight="false" outlineLevel="0" collapsed="false">
      <c r="D17" s="14"/>
      <c r="E17" s="14"/>
      <c r="F17" s="14"/>
      <c r="G17" s="14"/>
      <c r="J17" s="14"/>
      <c r="K17" s="12" t="n">
        <f aca="false">IF(C17="ILS",F17/100/$B$1,F17)</f>
        <v>0</v>
      </c>
      <c r="L17" s="12" t="n">
        <f aca="false">IF(C17="ILS",J17/100/$B$1,J17)</f>
        <v>0</v>
      </c>
      <c r="M17" s="12" t="n">
        <f aca="false">L17*H17</f>
        <v>0</v>
      </c>
      <c r="N17" s="13" t="n">
        <f aca="false">IF(F17=0,0,(J17-F17)/F17)</f>
        <v>0</v>
      </c>
      <c r="O17" s="12" t="n">
        <f aca="false">(L17-K17)*I17</f>
        <v>0</v>
      </c>
      <c r="P17" s="13" t="n">
        <f aca="false">IFERROR(M17/$M$24,0)</f>
        <v>0</v>
      </c>
    </row>
    <row r="18" customFormat="false" ht="15" hidden="false" customHeight="false" outlineLevel="0" collapsed="false">
      <c r="D18" s="14"/>
      <c r="E18" s="14"/>
      <c r="F18" s="14"/>
      <c r="G18" s="14"/>
      <c r="J18" s="14"/>
      <c r="K18" s="12" t="n">
        <f aca="false">IF(C18="ILS",F18/100/$B$1,F18)</f>
        <v>0</v>
      </c>
      <c r="L18" s="12" t="n">
        <f aca="false">IF(C18="ILS",J18/100/$B$1,J18)</f>
        <v>0</v>
      </c>
      <c r="M18" s="12" t="n">
        <f aca="false">L18*H18</f>
        <v>0</v>
      </c>
      <c r="N18" s="13" t="n">
        <f aca="false">IF(F18=0,0,(J18-F18)/F18)</f>
        <v>0</v>
      </c>
      <c r="O18" s="12" t="n">
        <f aca="false">(L18-K18)*I18</f>
        <v>0</v>
      </c>
      <c r="P18" s="13" t="n">
        <f aca="false">IFERROR(M18/$M$24,0)</f>
        <v>0</v>
      </c>
    </row>
    <row r="19" customFormat="false" ht="15" hidden="false" customHeight="false" outlineLevel="0" collapsed="false">
      <c r="D19" s="14"/>
      <c r="E19" s="14"/>
      <c r="F19" s="14"/>
      <c r="G19" s="14"/>
      <c r="J19" s="14"/>
      <c r="K19" s="12" t="n">
        <f aca="false">IF(C19="ILS",F19/100/$B$1,F19)</f>
        <v>0</v>
      </c>
      <c r="L19" s="12" t="n">
        <f aca="false">IF(C19="ILS",J19/100/$B$1,J19)</f>
        <v>0</v>
      </c>
      <c r="M19" s="12" t="n">
        <f aca="false">L19*H19</f>
        <v>0</v>
      </c>
      <c r="N19" s="13" t="n">
        <f aca="false">IF(F19=0,0,(J19-F19)/F19)</f>
        <v>0</v>
      </c>
      <c r="O19" s="12" t="n">
        <f aca="false">(L19-K19)*I19</f>
        <v>0</v>
      </c>
      <c r="P19" s="13" t="n">
        <f aca="false">IFERROR(M19/$M$24,0)</f>
        <v>0</v>
      </c>
    </row>
    <row r="21" customFormat="false" ht="15" hidden="false" customHeight="false" outlineLevel="0" collapsed="false">
      <c r="A21" s="1" t="s">
        <v>51</v>
      </c>
      <c r="M21" s="15" t="n">
        <f aca="false">$B$2-SUMPRODUCT((H5:H19&gt;0)*K5:K19*H5:H19)+SUMPRODUCT((H5:H19=0)*O5:O19)</f>
        <v>35238.7333333333</v>
      </c>
      <c r="N21" s="16"/>
      <c r="O21" s="15"/>
      <c r="P21" s="16" t="n">
        <f aca="false">IFERROR(M21/$M$24,0)</f>
        <v>0.347605669740385</v>
      </c>
    </row>
    <row r="22" customFormat="false" ht="15" hidden="false" customHeight="false" outlineLevel="0" collapsed="false">
      <c r="A22" s="1" t="s">
        <v>52</v>
      </c>
      <c r="M22" s="15" t="n">
        <f aca="false">SUM(M5:M19)</f>
        <v>66136.8666666667</v>
      </c>
      <c r="N22" s="16"/>
      <c r="O22" s="15"/>
      <c r="P22" s="16" t="n">
        <f aca="false">IFERROR(M22/$M$24,0)</f>
        <v>0.652394330259615</v>
      </c>
    </row>
    <row r="24" customFormat="false" ht="15" hidden="false" customHeight="false" outlineLevel="0" collapsed="false">
      <c r="B24" s="1" t="s">
        <v>53</v>
      </c>
      <c r="M24" s="15" t="n">
        <f aca="false">M21+M22</f>
        <v>101375.6</v>
      </c>
      <c r="N24" s="16" t="n">
        <f aca="false">(M24-$B$2)/$B$2</f>
        <v>0.0137560000000001</v>
      </c>
      <c r="O24" s="15" t="n">
        <f aca="false">M24-$B$2</f>
        <v>1375.60000000001</v>
      </c>
      <c r="P24" s="16"/>
    </row>
    <row r="25" customFormat="false" ht="15" hidden="false" customHeight="false" outlineLevel="0" collapsed="false">
      <c r="B25" s="1" t="s">
        <v>54</v>
      </c>
      <c r="M25" s="15" t="n">
        <f aca="false">$B$2</f>
        <v>100000</v>
      </c>
      <c r="N25" s="16"/>
      <c r="O25" s="15"/>
      <c r="P25" s="16"/>
    </row>
  </sheetData>
  <mergeCells count="1">
    <mergeCell ref="D1:Q2"/>
  </mergeCells>
  <dataValidations count="1">
    <dataValidation allowBlank="true" errorStyle="stop" operator="between" showDropDown="false" showErrorMessage="false" showInputMessage="false" sqref="C5:C19" type="list">
      <formula1>"USD,ILS"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2026-07-20T09:00:50Z</dcterms:created>
  <dc:creator>openpyxl</dc:creator>
  <dc:description/>
  <dc:language>en-US</dc:language>
  <cp:lastModifiedBy/>
  <dcterms:modified xsi:type="dcterms:W3CDTF">2026-07-20T09:00:50Z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